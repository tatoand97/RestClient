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F1E3A4FD-D204-4136-B2CE-D94AB87DE94A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Inputs" sheetId="1" r:id="rId1"/>
    <sheet name="Inventario actual" sheetId="2" r:id="rId2"/>
    <sheet name="Escenarios 3 años" sheetId="3" r:id="rId3"/>
    <sheet name="Resumen ejecutivo" sheetId="4" r:id="rId4"/>
    <sheet name="Validaciones" sheetId="5" r:id="rId5"/>
    <sheet name="Fuentes y supuestos" sheetId="6" r:id="rId6"/>
    <sheet name="Recomendación gerencia" sheetId="7" r:id="rId7"/>
    <sheet name="Gráficos" sheetId="8" r:id="rId8"/>
    <sheet name="Aclaración alcance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9" l="1"/>
  <c r="D7" i="9"/>
  <c r="D6" i="9"/>
  <c r="D5" i="9"/>
  <c r="D4" i="9"/>
  <c r="D7" i="8"/>
  <c r="C7" i="8"/>
  <c r="B7" i="8"/>
  <c r="D6" i="8"/>
  <c r="C6" i="8"/>
  <c r="B6" i="8"/>
  <c r="E5" i="8"/>
  <c r="D5" i="8"/>
  <c r="C5" i="8"/>
  <c r="F7" i="4"/>
  <c r="E7" i="4"/>
  <c r="D7" i="4"/>
  <c r="C7" i="4"/>
  <c r="F6" i="4"/>
  <c r="E9" i="3"/>
  <c r="D9" i="8" s="1"/>
  <c r="D9" i="3"/>
  <c r="C9" i="8" s="1"/>
  <c r="C9" i="3"/>
  <c r="F9" i="3" s="1"/>
  <c r="C8" i="3"/>
  <c r="E8" i="3" s="1"/>
  <c r="F7" i="3"/>
  <c r="E7" i="8" s="1"/>
  <c r="E7" i="3"/>
  <c r="D7" i="3"/>
  <c r="C7" i="3"/>
  <c r="F6" i="3"/>
  <c r="E6" i="3"/>
  <c r="E6" i="4" s="1"/>
  <c r="D6" i="3"/>
  <c r="D6" i="4" s="1"/>
  <c r="C6" i="3"/>
  <c r="C6" i="4" s="1"/>
  <c r="F5" i="3"/>
  <c r="F4" i="4" s="1"/>
  <c r="E5" i="3"/>
  <c r="E4" i="4" s="1"/>
  <c r="D5" i="3"/>
  <c r="D4" i="4" s="1"/>
  <c r="C5" i="3"/>
  <c r="B5" i="8" s="1"/>
  <c r="E4" i="3"/>
  <c r="D4" i="8" s="1"/>
  <c r="D4" i="3"/>
  <c r="C4" i="8" s="1"/>
  <c r="C4" i="3"/>
  <c r="F4" i="3" s="1"/>
  <c r="G7" i="2"/>
  <c r="G6" i="2"/>
  <c r="G5" i="2"/>
  <c r="G4" i="2"/>
  <c r="E8" i="4" l="1"/>
  <c r="D8" i="8"/>
  <c r="E9" i="8"/>
  <c r="G9" i="3"/>
  <c r="G9" i="4" s="1"/>
  <c r="F9" i="4"/>
  <c r="E4" i="8"/>
  <c r="F5" i="4"/>
  <c r="G7" i="3"/>
  <c r="G7" i="4" s="1"/>
  <c r="B5" i="7"/>
  <c r="G4" i="3"/>
  <c r="G5" i="4" s="1"/>
  <c r="G6" i="3"/>
  <c r="G6" i="4" s="1"/>
  <c r="D8" i="3"/>
  <c r="C8" i="4"/>
  <c r="C4" i="4"/>
  <c r="C9" i="4"/>
  <c r="G5" i="3"/>
  <c r="G4" i="4" s="1"/>
  <c r="E9" i="4"/>
  <c r="D9" i="4"/>
  <c r="B9" i="8"/>
  <c r="E6" i="8"/>
  <c r="B8" i="8"/>
  <c r="D5" i="4"/>
  <c r="B8" i="7"/>
  <c r="E5" i="4"/>
  <c r="B4" i="8"/>
  <c r="C5" i="4"/>
  <c r="D8" i="4" l="1"/>
  <c r="C8" i="8"/>
  <c r="F8" i="3"/>
  <c r="G8" i="3" l="1"/>
  <c r="G8" i="4" s="1"/>
  <c r="F8" i="4"/>
  <c r="E8" i="8"/>
</calcChain>
</file>

<file path=xl/sharedStrings.xml><?xml version="1.0" encoding="utf-8"?>
<sst xmlns="http://schemas.openxmlformats.org/spreadsheetml/2006/main" count="371" uniqueCount="293">
  <si>
    <t>Modelo Visual Studio Professional 2026 - Inputs corregidos</t>
  </si>
  <si>
    <t>Variable</t>
  </si>
  <si>
    <t>Valor</t>
  </si>
  <si>
    <t>Unidad</t>
  </si>
  <si>
    <t>Fuente / nota</t>
  </si>
  <si>
    <t>Total desarrolladores</t>
  </si>
  <si>
    <t>usuarios</t>
  </si>
  <si>
    <t>Dato del caso</t>
  </si>
  <si>
    <t>Perpetuas VS Pro 2022 sin SA</t>
  </si>
  <si>
    <t>Ya compradas; solo requieren SA para habilitar VS 2026</t>
  </si>
  <si>
    <t>Perpetuas VS Pro 2022 con SA vigente</t>
  </si>
  <si>
    <t>Vencen a finales de este año; no se modela renovación</t>
  </si>
  <si>
    <t>Suscripciones Azure monthly actuales</t>
  </si>
  <si>
    <t>Únicos usuarios que requerirían licencia nueva si salen de Azure monthly</t>
  </si>
  <si>
    <t>Precio SA anual por unidad SOLO para las 26 licencias perpetuas existentes</t>
  </si>
  <si>
    <t>USD/año</t>
  </si>
  <si>
    <t>Cotización interna; no aplica a los 4 usuarios Azure</t>
  </si>
  <si>
    <t>Visual Studio Professional monthly</t>
  </si>
  <si>
    <t>USD/usuario/mes</t>
  </si>
  <si>
    <t>Microsoft Visual Studio Pricing</t>
  </si>
  <si>
    <t>Visual Studio Professional standalone IDE</t>
  </si>
  <si>
    <t>USD/usuario</t>
  </si>
  <si>
    <t>Microsoft Visual Studio Pricing; riesgo de ruta SA posterior</t>
  </si>
  <si>
    <t>Retailer LSA GitHub Year 1</t>
  </si>
  <si>
    <t>Pagos Year 1/2/3 obligatorios</t>
  </si>
  <si>
    <t>Retailer LSA GitHub Year 2</t>
  </si>
  <si>
    <t>Retailer LSA GitHub Year 3</t>
  </si>
  <si>
    <t>Visual Studio Professional standard año 1</t>
  </si>
  <si>
    <t>Visual Studio Professional standard renovación</t>
  </si>
  <si>
    <t>Horizonte de análisis</t>
  </si>
  <si>
    <t>años</t>
  </si>
  <si>
    <t>Solicitado por el usuario</t>
  </si>
  <si>
    <t>Impuestos</t>
  </si>
  <si>
    <t>%</t>
  </si>
  <si>
    <t>No incluir COP/TRM; modelo en USD</t>
  </si>
  <si>
    <t>Descuento monthly desde sexta suscripción</t>
  </si>
  <si>
    <t>Microsoft pricing: descuento desde sexta suscripción del mismo tipo</t>
  </si>
  <si>
    <t>Umbral descuento monthly</t>
  </si>
  <si>
    <t>Desde el usuario 6 en adelante</t>
  </si>
  <si>
    <t>Renovar SA de las 10 existentes</t>
  </si>
  <si>
    <t>No</t>
  </si>
  <si>
    <t>Sí/No</t>
  </si>
  <si>
    <t>No se requiere si el objetivo es solo migrar a VS 2026</t>
  </si>
  <si>
    <t>Usar standalone como recomendación principal</t>
  </si>
  <si>
    <t>Riesgo: posible dificultad para comprar SA después</t>
  </si>
  <si>
    <t>Precio License + SA sin GitHub para 4 Azure</t>
  </si>
  <si>
    <t>Pendiente de cotización; alternativa preferible al SKU con GitHub si existe</t>
  </si>
  <si>
    <t>Aclaración crítica SA 244,19</t>
  </si>
  <si>
    <t>Solo 26 licencias perpetuas existentes</t>
  </si>
  <si>
    <t>Alcance</t>
  </si>
  <si>
    <t>Las 26 ya tienen licencia perpetua; no se compra licencia nueva para ellas</t>
  </si>
  <si>
    <t>Nuevas licencias perpetuas potenciales</t>
  </si>
  <si>
    <t>Solo aplicarían para los 4 usuarios que hoy están en Azure monthly</t>
  </si>
  <si>
    <t>Comprar nuevas licencias para las 26 perpetuas</t>
  </si>
  <si>
    <t>Incorrecto: las 26 licencias ya fueron compradas</t>
  </si>
  <si>
    <t>Inventario actual y tratamiento correcto</t>
  </si>
  <si>
    <t>Grupo</t>
  </si>
  <si>
    <t>Cantidad</t>
  </si>
  <si>
    <t>Licencia actual</t>
  </si>
  <si>
    <t>Estado frente a VS 2026</t>
  </si>
  <si>
    <t>Acción requerida</t>
  </si>
  <si>
    <t>Costo nuevo unitario USD</t>
  </si>
  <si>
    <t>Costo nuevo año 1 USD</t>
  </si>
  <si>
    <t>Observación</t>
  </si>
  <si>
    <t>Perpetua existente</t>
  </si>
  <si>
    <t>Elegibles para SA</t>
  </si>
  <si>
    <t>Comprar SA anual para habilitar VS 2026</t>
  </si>
  <si>
    <t>No comprar licencia nueva; el costo correcto es SA.</t>
  </si>
  <si>
    <t>Perpetua + SA vigente</t>
  </si>
  <si>
    <t>Habilitadas para VS 2026</t>
  </si>
  <si>
    <t>No renovar por ahora</t>
  </si>
  <si>
    <t>Vencen a finales de año, pero no se requiere nueva actualización por ahora.</t>
  </si>
  <si>
    <t>Usuarios Azure monthly</t>
  </si>
  <si>
    <t>Suscripción mensual</t>
  </si>
  <si>
    <t>Habilitados mientras se pague monthly</t>
  </si>
  <si>
    <t>Mantener o migrar a 4 licencias nuevas</t>
  </si>
  <si>
    <t>Solo estos 4 serían candidatos a licencia perpetua nueva.</t>
  </si>
  <si>
    <t>Nuevas licencias para las 26</t>
  </si>
  <si>
    <t>No aplica</t>
  </si>
  <si>
    <t>No comprar</t>
  </si>
  <si>
    <t>Escenario incorrecto: esas 26 licencias ya existen.</t>
  </si>
  <si>
    <t>Escenarios de costo a 3 años - USD corregidos</t>
  </si>
  <si>
    <t>ID</t>
  </si>
  <si>
    <t>Escenario</t>
  </si>
  <si>
    <t>Año 1 USD</t>
  </si>
  <si>
    <t>Año 2 USD</t>
  </si>
  <si>
    <t>Año 3 USD</t>
  </si>
  <si>
    <t>Total 3 años USD</t>
  </si>
  <si>
    <t>Costo incremental vs recomendado</t>
  </si>
  <si>
    <t>Tipo gasto</t>
  </si>
  <si>
    <t>Derecho perpetuo</t>
  </si>
  <si>
    <t>Ruta SA futura</t>
  </si>
  <si>
    <t>Riesgo</t>
  </si>
  <si>
    <t>Recomendación</t>
  </si>
  <si>
    <t>Supuesto clave</t>
  </si>
  <si>
    <t>S1</t>
  </si>
  <si>
    <t>Recomendado defendible: SA para 26 perpetuas existentes + mantener 4 Azure monthly</t>
  </si>
  <si>
    <t>Mixto</t>
  </si>
  <si>
    <t>Sí para 36; Azure no</t>
  </si>
  <si>
    <t>Alta para 26/10; Azure por suscripción</t>
  </si>
  <si>
    <t>Bajo</t>
  </si>
  <si>
    <t>Recomendado</t>
  </si>
  <si>
    <t>SA USD 244,19 aplica solo a las 26 licencias perpetuas existentes. Los 4 Azure siguen como suscripción.</t>
  </si>
  <si>
    <t>S2</t>
  </si>
  <si>
    <t>Menor costo con riesgo: SA para 26 perpetuas existentes + 4 nuevas standalone</t>
  </si>
  <si>
    <t>CAPEX/Mixto</t>
  </si>
  <si>
    <t>Sí</t>
  </si>
  <si>
    <t>Media/baja para 4 standalone</t>
  </si>
  <si>
    <t>Medio/alto</t>
  </si>
  <si>
    <t>No principal</t>
  </si>
  <si>
    <t>La compra de licencia perpetua nueva aplica solo a los 4 usuarios Azure. Riesgo: ruta futura de SA.</t>
  </si>
  <si>
    <t>S3</t>
  </si>
  <si>
    <t>Alta mientras SA esté activa en los 4 nuevos</t>
  </si>
  <si>
    <t>Alternativa condicionada</t>
  </si>
  <si>
    <t>Corrige el error anterior: el retailer no se compra para 26; se compraría solo para 4 nuevos usuarios, pero incluye GitHub no usado.</t>
  </si>
  <si>
    <t>S4</t>
  </si>
  <si>
    <t>Conservador: SA anual para 26 por 3 años + mantener 4 Azure monthly</t>
  </si>
  <si>
    <t>Alta</t>
  </si>
  <si>
    <t>Alternativa segura</t>
  </si>
  <si>
    <t>Solo tiene sentido si quieren mantener derecho a nuevas versiones durante todo el horizonte.</t>
  </si>
  <si>
    <t>S5</t>
  </si>
  <si>
    <t>Migrar los 40 usuarios a Azure monthly</t>
  </si>
  <si>
    <t>OPEX</t>
  </si>
  <si>
    <t>Por suscripción</t>
  </si>
  <si>
    <t>Alto OPEX</t>
  </si>
  <si>
    <t>No recomendado</t>
  </si>
  <si>
    <t>Solo conviene si se prioriza flexibilidad total sobre costo.</t>
  </si>
  <si>
    <t>S6</t>
  </si>
  <si>
    <t>Visual Studio Professional standard anual para 40</t>
  </si>
  <si>
    <t>Costo muy alto</t>
  </si>
  <si>
    <t>Incluye beneficios de suscripción, pero no responde al menor costo.</t>
  </si>
  <si>
    <t>Resumen ejecutivo - decisión a 3 años</t>
  </si>
  <si>
    <t>Orden</t>
  </si>
  <si>
    <t>Brecha vs recomendado</t>
  </si>
  <si>
    <t>Lectura ejecutiva</t>
  </si>
  <si>
    <t>Acción</t>
  </si>
  <si>
    <t>S2 - Menor costo con riesgo: SA para 26 + 4 standalone</t>
  </si>
  <si>
    <t>Más barato nominalmente, pero puede dificultar SA futura para los 4 usuarios.</t>
  </si>
  <si>
    <t>Usar solo si Microsoft/reseller confirma ruta futura de SA para standalone.</t>
  </si>
  <si>
    <t>S1 - Recomendado: SA para 26 + mantener 4 Azure</t>
  </si>
  <si>
    <t>Aprovecha las 26 licencias existentes y evita comprar licencias nuevas para ellas.</t>
  </si>
  <si>
    <t>Comprar SA para 26; mantener Azure mientras se cotiza License + SA sin GitHub para 4.</t>
  </si>
  <si>
    <t>S3 - Retailer correcto: SA 26 + 4 nuevas retailer LSA GitHub</t>
  </si>
  <si>
    <t>Corrige el alcance: retailer solo para 4 nuevos usuarios, no para 26.</t>
  </si>
  <si>
    <t>Evaluar solo si no existe License + SA sin GitHub para 4.</t>
  </si>
  <si>
    <t>S4 - Conservador: SA anual 26 por 3 años + mantener 4 Azure</t>
  </si>
  <si>
    <t>Mantiene New Version Rights para las 26 durante todo el horizonte.</t>
  </si>
  <si>
    <t>Usar si la estrategia exige actualización futura continua.</t>
  </si>
  <si>
    <t>S5 - Todos Azure monthly</t>
  </si>
  <si>
    <t>Flexible pero caro a 3 años.</t>
  </si>
  <si>
    <t>Descartar por costo.</t>
  </si>
  <si>
    <t>S6 - Standard anual para 40</t>
  </si>
  <si>
    <t>Muy alto costo</t>
  </si>
  <si>
    <t>Máximo costo entre escenarios modelados.</t>
  </si>
  <si>
    <t>Validaciones y estado</t>
  </si>
  <si>
    <t>Validación</t>
  </si>
  <si>
    <t>Estado</t>
  </si>
  <si>
    <t>Por qué importa</t>
  </si>
  <si>
    <t>Impacto sí</t>
  </si>
  <si>
    <t>Impacto no</t>
  </si>
  <si>
    <t>Responsable sugerido</t>
  </si>
  <si>
    <t>Nota</t>
  </si>
  <si>
    <t>Elegibilidad de las 26 perpetuas para adquirir SA</t>
  </si>
  <si>
    <t>Confirmado: Sí</t>
  </si>
  <si>
    <t>Permite usar SA de USD 244,19 sin recomprar licencias</t>
  </si>
  <si>
    <t>S1/S4 válidos</t>
  </si>
  <si>
    <t>Habría que recomprar o usar suscripción</t>
  </si>
  <si>
    <t>Reseller/Microsoft</t>
  </si>
  <si>
    <t>Confirmado por usuario</t>
  </si>
  <si>
    <t>SA otorga New Version Rights</t>
  </si>
  <si>
    <t>Habilita migración a VS 2026 con SA activa</t>
  </si>
  <si>
    <t>Se puede actualizar licencias cubiertas</t>
  </si>
  <si>
    <t>SA no serviría para objetivo</t>
  </si>
  <si>
    <t>Microsoft/Reseller</t>
  </si>
  <si>
    <t>Fuente Microsoft</t>
  </si>
  <si>
    <t>Naturaleza del pago SA</t>
  </si>
  <si>
    <t>Confirmado: Anual</t>
  </si>
  <si>
    <t>Evita tratar SA como pago único multianual</t>
  </si>
  <si>
    <t>Se modela como anual</t>
  </si>
  <si>
    <t>Cambiaría total 3 años</t>
  </si>
  <si>
    <t>Compras/Reseller</t>
  </si>
  <si>
    <t>En S1 solo se compra año 1 por objetivo VS 2026</t>
  </si>
  <si>
    <t>Year 1/2/3 retailer obligatorios</t>
  </si>
  <si>
    <t>Hace más costosa la opción retailer</t>
  </si>
  <si>
    <t>S3 debe incluir 3 pagos</t>
  </si>
  <si>
    <t>No se podría comparar igual</t>
  </si>
  <si>
    <t>Reseller</t>
  </si>
  <si>
    <t>Retailer es License + SA</t>
  </si>
  <si>
    <t>Sirve para licencias nuevas, no para las 26 existentes</t>
  </si>
  <si>
    <t>Aplica a los 4 Azure si se reemplazan</t>
  </si>
  <si>
    <t>No usar como alternativa de licenciamiento</t>
  </si>
  <si>
    <t>Después se paga SA al vencer</t>
  </si>
  <si>
    <t>Cotización incluye GitHub Enterprise</t>
  </si>
  <si>
    <t>No se usa en la compañía</t>
  </si>
  <si>
    <t>Reduce valor práctico del SKU</t>
  </si>
  <si>
    <t>No aporta al caso</t>
  </si>
  <si>
    <t>Podría descartarse</t>
  </si>
  <si>
    <t>Compras/TI</t>
  </si>
  <si>
    <t>Confirmado por usuario: no usan GitHub</t>
  </si>
  <si>
    <t>Derecho perpetuo al finalizar retailer</t>
  </si>
  <si>
    <t>Importa para CAPEX y continuidad</t>
  </si>
  <si>
    <t>Queda licencia perpetua</t>
  </si>
  <si>
    <t>No sería comparable</t>
  </si>
  <si>
    <t>Se requiere SA para futuras actualizaciones</t>
  </si>
  <si>
    <t>Migrar los 4 Azure a otro modelo</t>
  </si>
  <si>
    <t>Confirmado: Posible</t>
  </si>
  <si>
    <t>Permite evaluar licencias nuevas solo para 4</t>
  </si>
  <si>
    <t>Opciones S2/S3 válidas</t>
  </si>
  <si>
    <t>Se mantiene Azure monthly</t>
  </si>
  <si>
    <t>TI/Compras</t>
  </si>
  <si>
    <t>Suscripción mensual flexible</t>
  </si>
  <si>
    <t>License + SA sin GitHub para 4 Azure</t>
  </si>
  <si>
    <t>Sería mejor que comprar SKU con GitHub que no usan</t>
  </si>
  <si>
    <t>Puede reemplazar S3 por opción más eficiente</t>
  </si>
  <si>
    <t>S3 queda como referencia costosa</t>
  </si>
  <si>
    <t>Cotizar solo 4 usuarios</t>
  </si>
  <si>
    <t>Fuentes y supuestos</t>
  </si>
  <si>
    <t>Fuente</t>
  </si>
  <si>
    <t>Dato usado</t>
  </si>
  <si>
    <t>URL</t>
  </si>
  <si>
    <t>Fecha consulta</t>
  </si>
  <si>
    <t>Tipo</t>
  </si>
  <si>
    <t>Professional monthly USD 45; standard USD 99,99; renewal USD 66,59; standalone USD 499</t>
  </si>
  <si>
    <t>https://visualstudio.microsoft.com/vs/pricing/?tab=paid-subscriptions</t>
  </si>
  <si>
    <t>2026-05-20</t>
  </si>
  <si>
    <t>Oficial</t>
  </si>
  <si>
    <t>Precios de referencia públicos</t>
  </si>
  <si>
    <t>Microsoft Software Assurance Benefits</t>
  </si>
  <si>
    <t>New Version Rights para licencias cubiertas con SA activa</t>
  </si>
  <si>
    <t>https://www.microsoft.com/en-us/licensing/licensing-programs/software-assurance-by-benefits</t>
  </si>
  <si>
    <t>Sustenta migración con SA activa</t>
  </si>
  <si>
    <t>Cotización interna retailer</t>
  </si>
  <si>
    <t>VS Pro with GitHub ALng LSA Year 1/2/3</t>
  </si>
  <si>
    <t>Cotización interna / reseller</t>
  </si>
  <si>
    <t>Interna</t>
  </si>
  <si>
    <t>Pagos obligatorios según validación del usuario</t>
  </si>
  <si>
    <t>Validación usuario</t>
  </si>
  <si>
    <t>26 licencias elegibles para SA; SA anual; 4 Azure migrables</t>
  </si>
  <si>
    <t>Conversación de trabajo</t>
  </si>
  <si>
    <t>Modelo en USD únicamente</t>
  </si>
  <si>
    <t>Supuesto principal</t>
  </si>
  <si>
    <t>Objetivo: solo habilitar Visual Studio 2026</t>
  </si>
  <si>
    <t>Supuesto</t>
  </si>
  <si>
    <t>No renovar SA de 10 existentes ni continuidad multiversión salvo escenario S4</t>
  </si>
  <si>
    <t>Recomendación para gerencia</t>
  </si>
  <si>
    <t>Conclusión principal</t>
  </si>
  <si>
    <t>El escenario retailer anterior estaba mal planteado. No corresponde comprar retailer para 26 licencias porque esas 26 ya existen; solo requieren SA anual de USD 244,19 por unidad. Si se compran nuevas licencias perpetuas, serían únicamente para los 4 usuarios que hoy están en Azure monthly.</t>
  </si>
  <si>
    <t>Opción recomendada</t>
  </si>
  <si>
    <t>Comprar SA anual para las 26 licencias perpetuas existentes y mantener temporalmente los 4 usuarios Azure monthly.</t>
  </si>
  <si>
    <t>Costo recomendado a 3 años</t>
  </si>
  <si>
    <t>Costo correcto del SA</t>
  </si>
  <si>
    <t>26 × USD 244,19 = USD 6.348,94. Aplica solo a las 26 licencias perpetuas existentes.</t>
  </si>
  <si>
    <t>Retailer corregido</t>
  </si>
  <si>
    <t>La alternativa retailer correcta es 26 SA + 4 nuevas licencias retailer LSA GitHub, no retailer para 26 + mantener 4 Azure.</t>
  </si>
  <si>
    <t>Costo retailer corregido</t>
  </si>
  <si>
    <t>Por qué no es principal</t>
  </si>
  <si>
    <t>El SKU retailer tiene pagos Year 1/2/3 obligatorios e incluye GitHub, que la compañía no usa.</t>
  </si>
  <si>
    <t>Riesgo standalone</t>
  </si>
  <si>
    <t>Standalone para los 4 usuarios Azure es más barato, pero no queda como recomendación principal por posible dificultad de adquirir SA después.</t>
  </si>
  <si>
    <t>Acción inmediata</t>
  </si>
  <si>
    <t>Comprar SA para 26 y cotizar una opción License + SA sin GitHub únicamente para los 4 usuarios Azure.</t>
  </si>
  <si>
    <t>Mensaje sugerido</t>
  </si>
  <si>
    <t>La decisión debe separar dos universos: 26 licencias ya compradas que solo requieren SA, y 4 usuarios Azure que sí podrían requerir licencia nueva si se decide salir de suscripción.</t>
  </si>
  <si>
    <t>Documento corregido con horizonte 3 años en USD.</t>
  </si>
  <si>
    <t>Gráficos - costos a 3 años USD</t>
  </si>
  <si>
    <t>S1 Recomendado</t>
  </si>
  <si>
    <t>S2 Barato con riesgo</t>
  </si>
  <si>
    <t>S3 Retailer correcto 4</t>
  </si>
  <si>
    <t>S4 Conservador</t>
  </si>
  <si>
    <t>S5 Azure monthly</t>
  </si>
  <si>
    <t>S6 Standard anual</t>
  </si>
  <si>
    <t>Aclaración de alcance de licenciamiento</t>
  </si>
  <si>
    <t>Tema</t>
  </si>
  <si>
    <t>Costo unitario USD</t>
  </si>
  <si>
    <t>Costo año 1 USD</t>
  </si>
  <si>
    <t>Qué significa</t>
  </si>
  <si>
    <t>Decisión</t>
  </si>
  <si>
    <t>SA para licencias perpetuas existentes</t>
  </si>
  <si>
    <t>Aplica solo a las 26 licencias perpetuas ya compradas. No es compra de licencia nueva.</t>
  </si>
  <si>
    <t>Comprar SA para habilitar VS 2026</t>
  </si>
  <si>
    <t>Licencias perpetuas con SA vigente</t>
  </si>
  <si>
    <t>Ya permiten migrar a VS 2026. No se renuevan en el caso base.</t>
  </si>
  <si>
    <t>No comprar ni renovar por ahora</t>
  </si>
  <si>
    <t>Usuarios Azure monthly actuales</t>
  </si>
  <si>
    <t>Siguen habilitados mientras se pague suscripción.</t>
  </si>
  <si>
    <t>Mantener temporalmente o migrar a licencia nueva</t>
  </si>
  <si>
    <t>Nuevas licencias potenciales</t>
  </si>
  <si>
    <t>Solo serían para los 4 usuarios Azure si se decide salir de suscripción.</t>
  </si>
  <si>
    <t>Cotizar alternativa con ruta de SA futura</t>
  </si>
  <si>
    <t>Nuevas licencias para las 26 existentes</t>
  </si>
  <si>
    <t>No corresponde: esas 26 ya tienen Visual Studio Professional 2022 perpetuo.</t>
  </si>
  <si>
    <t>SA para 26 + 4 nuevas licencias retailer LSA GitHub</t>
  </si>
  <si>
    <t>Confirmado: No es posible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</si>
</sst>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5">
    <font>
      <sz val="11"/>
      <name val="Carlito"/>
    </font>
    <font>
      <sz val="10"/>
      <name val="Aptos"/>
    </font>
    <font>
      <b/>
      <sz val="10"/>
      <color rgb="FF1F2937"/>
      <name val="Aptos"/>
    </font>
    <font>
      <b/>
      <sz val="10"/>
      <color rgb="FF7F6000"/>
      <name val="Aptos"/>
    </font>
    <font>
      <b/>
      <sz val="14"/>
      <color rgb="FFFFFFFF"/>
      <name val="Aptos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3" borderId="0" xfId="0" applyFont="1" applyFill="1" applyAlignment="1">
      <alignment horizontal="center" vertical="center" wrapText="1"/>
    </xf>
    <xf numFmtId="0" fontId="1" fillId="0" borderId="0" xfId="0" applyFont="1" applyAlignment="1">
      <alignment wrapText="1"/>
    </xf>
    <xf numFmtId="164" fontId="1" fillId="0" borderId="0" xfId="0" applyNumberFormat="1" applyFont="1" applyAlignment="1">
      <alignment wrapText="1"/>
    </xf>
    <xf numFmtId="9" fontId="1" fillId="0" borderId="0" xfId="0" applyNumberFormat="1" applyFont="1" applyAlignment="1">
      <alignment wrapText="1"/>
    </xf>
    <xf numFmtId="164" fontId="1" fillId="0" borderId="0" xfId="0" applyNumberFormat="1" applyFont="1"/>
    <xf numFmtId="0" fontId="4" fillId="2" borderId="0" xfId="0" applyFont="1" applyFill="1" applyAlignment="1">
      <alignment horizontal="left" vertical="center"/>
    </xf>
    <xf numFmtId="0" fontId="3" fillId="4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419"/>
              <a:t>Costo por escenario a 3 años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Año 1 USD</c:v>
          </c:tx>
          <c:invertIfNegative val="1"/>
          <c:cat>
            <c:strRef>
              <c:f>Gráficos!$A$4:$A$9</c:f>
              <c:strCache>
                <c:ptCount val="6"/>
                <c:pt idx="0">
                  <c:v>S1 Recomendado</c:v>
                </c:pt>
                <c:pt idx="1">
                  <c:v>S2 Barato con riesgo</c:v>
                </c:pt>
                <c:pt idx="2">
                  <c:v>S3 Retailer correcto 4</c:v>
                </c:pt>
                <c:pt idx="3">
                  <c:v>S4 Conservador</c:v>
                </c:pt>
                <c:pt idx="4">
                  <c:v>S5 Azure monthly</c:v>
                </c:pt>
                <c:pt idx="5">
                  <c:v>S6 Standard anual</c:v>
                </c:pt>
              </c:strCache>
            </c:strRef>
          </c:cat>
          <c:val>
            <c:numRef>
              <c:f>Gráficos!$B$4:$B$9</c:f>
              <c:numCache>
                <c:formatCode>\$#,##0.00</c:formatCode>
                <c:ptCount val="6"/>
                <c:pt idx="0">
                  <c:v>8508.9399999999987</c:v>
                </c:pt>
                <c:pt idx="1">
                  <c:v>8344.9399999999987</c:v>
                </c:pt>
                <c:pt idx="2">
                  <c:v>10428.700000000001</c:v>
                </c:pt>
                <c:pt idx="3">
                  <c:v>8508.9399999999987</c:v>
                </c:pt>
                <c:pt idx="4">
                  <c:v>20655</c:v>
                </c:pt>
                <c:pt idx="5">
                  <c:v>47995.199999999997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92-4D0A-AC98-D6CEFB19D79B}"/>
            </c:ext>
          </c:extLst>
        </c:ser>
        <c:ser>
          <c:idx val="1"/>
          <c:order val="1"/>
          <c:tx>
            <c:v>Año 2 USD</c:v>
          </c:tx>
          <c:invertIfNegative val="1"/>
          <c:cat>
            <c:strRef>
              <c:f>Gráficos!$A$4:$A$9</c:f>
              <c:strCache>
                <c:ptCount val="6"/>
                <c:pt idx="0">
                  <c:v>S1 Recomendado</c:v>
                </c:pt>
                <c:pt idx="1">
                  <c:v>S2 Barato con riesgo</c:v>
                </c:pt>
                <c:pt idx="2">
                  <c:v>S3 Retailer correcto 4</c:v>
                </c:pt>
                <c:pt idx="3">
                  <c:v>S4 Conservador</c:v>
                </c:pt>
                <c:pt idx="4">
                  <c:v>S5 Azure monthly</c:v>
                </c:pt>
                <c:pt idx="5">
                  <c:v>S6 Standard anual</c:v>
                </c:pt>
              </c:strCache>
            </c:strRef>
          </c:cat>
          <c:val>
            <c:numRef>
              <c:f>Gráficos!$C$4:$C$9</c:f>
              <c:numCache>
                <c:formatCode>\$#,##0.00</c:formatCode>
                <c:ptCount val="6"/>
                <c:pt idx="0">
                  <c:v>2160</c:v>
                </c:pt>
                <c:pt idx="1">
                  <c:v>0</c:v>
                </c:pt>
                <c:pt idx="2">
                  <c:v>2684.4</c:v>
                </c:pt>
                <c:pt idx="3">
                  <c:v>8508.9399999999987</c:v>
                </c:pt>
                <c:pt idx="4">
                  <c:v>20655</c:v>
                </c:pt>
                <c:pt idx="5">
                  <c:v>31963.200000000004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92-4D0A-AC98-D6CEFB19D79B}"/>
            </c:ext>
          </c:extLst>
        </c:ser>
        <c:ser>
          <c:idx val="2"/>
          <c:order val="2"/>
          <c:tx>
            <c:v>Año 3 USD</c:v>
          </c:tx>
          <c:invertIfNegative val="1"/>
          <c:cat>
            <c:strRef>
              <c:f>Gráficos!$A$4:$A$9</c:f>
              <c:strCache>
                <c:ptCount val="6"/>
                <c:pt idx="0">
                  <c:v>S1 Recomendado</c:v>
                </c:pt>
                <c:pt idx="1">
                  <c:v>S2 Barato con riesgo</c:v>
                </c:pt>
                <c:pt idx="2">
                  <c:v>S3 Retailer correcto 4</c:v>
                </c:pt>
                <c:pt idx="3">
                  <c:v>S4 Conservador</c:v>
                </c:pt>
                <c:pt idx="4">
                  <c:v>S5 Azure monthly</c:v>
                </c:pt>
                <c:pt idx="5">
                  <c:v>S6 Standard anual</c:v>
                </c:pt>
              </c:strCache>
            </c:strRef>
          </c:cat>
          <c:val>
            <c:numRef>
              <c:f>Gráficos!$D$4:$D$9</c:f>
              <c:numCache>
                <c:formatCode>\$#,##0.00</c:formatCode>
                <c:ptCount val="6"/>
                <c:pt idx="0">
                  <c:v>2160</c:v>
                </c:pt>
                <c:pt idx="1">
                  <c:v>0</c:v>
                </c:pt>
                <c:pt idx="2">
                  <c:v>1289.04</c:v>
                </c:pt>
                <c:pt idx="3">
                  <c:v>8508.9399999999987</c:v>
                </c:pt>
                <c:pt idx="4">
                  <c:v>20655</c:v>
                </c:pt>
                <c:pt idx="5">
                  <c:v>31963.200000000004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92-4D0A-AC98-D6CEFB19D79B}"/>
            </c:ext>
          </c:extLst>
        </c:ser>
        <c:ser>
          <c:idx val="3"/>
          <c:order val="3"/>
          <c:tx>
            <c:v>Total 3 años USD</c:v>
          </c:tx>
          <c:invertIfNegative val="1"/>
          <c:cat>
            <c:strRef>
              <c:f>Gráficos!$A$4:$A$9</c:f>
              <c:strCache>
                <c:ptCount val="6"/>
                <c:pt idx="0">
                  <c:v>S1 Recomendado</c:v>
                </c:pt>
                <c:pt idx="1">
                  <c:v>S2 Barato con riesgo</c:v>
                </c:pt>
                <c:pt idx="2">
                  <c:v>S3 Retailer correcto 4</c:v>
                </c:pt>
                <c:pt idx="3">
                  <c:v>S4 Conservador</c:v>
                </c:pt>
                <c:pt idx="4">
                  <c:v>S5 Azure monthly</c:v>
                </c:pt>
                <c:pt idx="5">
                  <c:v>S6 Standard anual</c:v>
                </c:pt>
              </c:strCache>
            </c:strRef>
          </c:cat>
          <c:val>
            <c:numRef>
              <c:f>Gráficos!$E$4:$E$9</c:f>
              <c:numCache>
                <c:formatCode>\$#,##0.00</c:formatCode>
                <c:ptCount val="6"/>
                <c:pt idx="0">
                  <c:v>12828.939999999999</c:v>
                </c:pt>
                <c:pt idx="1">
                  <c:v>8344.9399999999987</c:v>
                </c:pt>
                <c:pt idx="2">
                  <c:v>14402.14</c:v>
                </c:pt>
                <c:pt idx="3">
                  <c:v>25526.819999999996</c:v>
                </c:pt>
                <c:pt idx="4">
                  <c:v>61965</c:v>
                </c:pt>
                <c:pt idx="5">
                  <c:v>111921.60000000001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C92-4D0A-AC98-D6CEFB19D7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0"/>
  <sheetViews>
    <sheetView workbookViewId="0">
      <selection sqref="A1:D1"/>
    </sheetView>
  </sheetViews>
  <sheetFormatPr baseColWidth="10" defaultColWidth="9" defaultRowHeight="14.25"/>
  <cols>
    <col min="1" max="1" width="44" customWidth="1"/>
    <col min="2" max="3" width="18" customWidth="1"/>
    <col min="4" max="4" width="62" customWidth="1"/>
  </cols>
  <sheetData>
    <row r="1" spans="1:26" ht="18.75">
      <c r="A1" s="7" t="s">
        <v>0</v>
      </c>
      <c r="B1" s="7"/>
      <c r="C1" s="7"/>
      <c r="D1" s="7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>
      <c r="A3" s="2" t="s">
        <v>1</v>
      </c>
      <c r="B3" s="2" t="s">
        <v>2</v>
      </c>
      <c r="C3" s="2" t="s">
        <v>3</v>
      </c>
      <c r="D3" s="2" t="s">
        <v>4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>
      <c r="A4" s="3" t="s">
        <v>5</v>
      </c>
      <c r="B4" s="3">
        <v>40</v>
      </c>
      <c r="C4" s="3" t="s">
        <v>6</v>
      </c>
      <c r="D4" s="3" t="s">
        <v>7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>
      <c r="A5" s="3" t="s">
        <v>8</v>
      </c>
      <c r="B5" s="3">
        <v>26</v>
      </c>
      <c r="C5" s="3" t="s">
        <v>6</v>
      </c>
      <c r="D5" s="3" t="s">
        <v>9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>
      <c r="A6" s="3" t="s">
        <v>10</v>
      </c>
      <c r="B6" s="3">
        <v>10</v>
      </c>
      <c r="C6" s="3" t="s">
        <v>6</v>
      </c>
      <c r="D6" s="3" t="s">
        <v>11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>
      <c r="A7" s="3" t="s">
        <v>12</v>
      </c>
      <c r="B7" s="3">
        <v>4</v>
      </c>
      <c r="C7" s="3" t="s">
        <v>6</v>
      </c>
      <c r="D7" s="3" t="s">
        <v>13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7">
      <c r="A8" s="3" t="s">
        <v>14</v>
      </c>
      <c r="B8" s="4">
        <v>244.19</v>
      </c>
      <c r="C8" s="3" t="s">
        <v>15</v>
      </c>
      <c r="D8" s="3" t="s">
        <v>16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>
      <c r="A9" s="3" t="s">
        <v>17</v>
      </c>
      <c r="B9" s="4">
        <v>45</v>
      </c>
      <c r="C9" s="3" t="s">
        <v>18</v>
      </c>
      <c r="D9" s="3" t="s">
        <v>19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>
      <c r="A10" s="3" t="s">
        <v>20</v>
      </c>
      <c r="B10" s="4">
        <v>499</v>
      </c>
      <c r="C10" s="3" t="s">
        <v>21</v>
      </c>
      <c r="D10" s="3" t="s">
        <v>22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>
      <c r="A11" s="3" t="s">
        <v>23</v>
      </c>
      <c r="B11" s="4">
        <v>1019.94</v>
      </c>
      <c r="C11" s="3" t="s">
        <v>21</v>
      </c>
      <c r="D11" s="3" t="s">
        <v>24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>
      <c r="A12" s="3" t="s">
        <v>25</v>
      </c>
      <c r="B12" s="4">
        <v>671.1</v>
      </c>
      <c r="C12" s="3" t="s">
        <v>21</v>
      </c>
      <c r="D12" s="3" t="s">
        <v>24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>
      <c r="A13" s="3" t="s">
        <v>26</v>
      </c>
      <c r="B13" s="4">
        <v>322.26</v>
      </c>
      <c r="C13" s="3" t="s">
        <v>21</v>
      </c>
      <c r="D13" s="3" t="s">
        <v>24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>
      <c r="A14" s="3" t="s">
        <v>27</v>
      </c>
      <c r="B14" s="4">
        <v>99.99</v>
      </c>
      <c r="C14" s="3" t="s">
        <v>18</v>
      </c>
      <c r="D14" s="3" t="s">
        <v>19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>
      <c r="A15" s="3" t="s">
        <v>28</v>
      </c>
      <c r="B15" s="4">
        <v>66.59</v>
      </c>
      <c r="C15" s="3" t="s">
        <v>18</v>
      </c>
      <c r="D15" s="3" t="s">
        <v>19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>
      <c r="A16" s="3" t="s">
        <v>29</v>
      </c>
      <c r="B16" s="3">
        <v>3</v>
      </c>
      <c r="C16" s="3" t="s">
        <v>30</v>
      </c>
      <c r="D16" s="3" t="s">
        <v>31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>
      <c r="A17" s="3" t="s">
        <v>32</v>
      </c>
      <c r="B17" s="5">
        <v>0</v>
      </c>
      <c r="C17" s="3" t="s">
        <v>33</v>
      </c>
      <c r="D17" s="3" t="s">
        <v>34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>
      <c r="A18" s="3" t="s">
        <v>35</v>
      </c>
      <c r="B18" s="5">
        <v>0.05</v>
      </c>
      <c r="C18" s="3" t="s">
        <v>33</v>
      </c>
      <c r="D18" s="3" t="s">
        <v>36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>
      <c r="A19" s="3" t="s">
        <v>37</v>
      </c>
      <c r="B19" s="3">
        <v>6</v>
      </c>
      <c r="C19" s="3" t="s">
        <v>6</v>
      </c>
      <c r="D19" s="3" t="s">
        <v>38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>
      <c r="A20" s="3" t="s">
        <v>39</v>
      </c>
      <c r="B20" s="3" t="s">
        <v>40</v>
      </c>
      <c r="C20" s="3" t="s">
        <v>41</v>
      </c>
      <c r="D20" s="3" t="s">
        <v>42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>
      <c r="A21" s="3" t="s">
        <v>43</v>
      </c>
      <c r="B21" s="3" t="s">
        <v>40</v>
      </c>
      <c r="C21" s="3" t="s">
        <v>41</v>
      </c>
      <c r="D21" s="3" t="s">
        <v>44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>
      <c r="A22" s="3" t="s">
        <v>45</v>
      </c>
      <c r="B22" s="3"/>
      <c r="C22" s="3" t="s">
        <v>21</v>
      </c>
      <c r="D22" s="3" t="s">
        <v>46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7">
      <c r="A23" s="3" t="s">
        <v>47</v>
      </c>
      <c r="B23" s="3" t="s">
        <v>48</v>
      </c>
      <c r="C23" s="3" t="s">
        <v>49</v>
      </c>
      <c r="D23" s="3" t="s">
        <v>50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>
      <c r="A24" s="3" t="s">
        <v>51</v>
      </c>
      <c r="B24" s="3">
        <v>4</v>
      </c>
      <c r="C24" s="3" t="s">
        <v>6</v>
      </c>
      <c r="D24" s="3" t="s">
        <v>52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>
      <c r="A25" s="3" t="s">
        <v>53</v>
      </c>
      <c r="B25" s="3" t="s">
        <v>40</v>
      </c>
      <c r="C25" s="3" t="s">
        <v>41</v>
      </c>
      <c r="D25" s="3" t="s">
        <v>54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00"/>
  <sheetViews>
    <sheetView tabSelected="1" workbookViewId="0">
      <selection sqref="A1:H1"/>
    </sheetView>
  </sheetViews>
  <sheetFormatPr baseColWidth="10" defaultColWidth="9" defaultRowHeight="14.25"/>
  <cols>
    <col min="1" max="1" width="30" customWidth="1"/>
    <col min="2" max="2" width="12" customWidth="1"/>
    <col min="3" max="5" width="30" customWidth="1"/>
    <col min="8" max="8" width="55" customWidth="1"/>
  </cols>
  <sheetData>
    <row r="1" spans="1:26" ht="18.75">
      <c r="A1" s="7" t="s">
        <v>55</v>
      </c>
      <c r="B1" s="7"/>
      <c r="C1" s="7"/>
      <c r="D1" s="7"/>
      <c r="E1" s="7"/>
      <c r="F1" s="7"/>
      <c r="G1" s="7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54">
      <c r="A3" s="2" t="s">
        <v>56</v>
      </c>
      <c r="B3" s="2" t="s">
        <v>57</v>
      </c>
      <c r="C3" s="2" t="s">
        <v>58</v>
      </c>
      <c r="D3" s="2" t="s">
        <v>59</v>
      </c>
      <c r="E3" s="2" t="s">
        <v>60</v>
      </c>
      <c r="F3" s="2" t="s">
        <v>61</v>
      </c>
      <c r="G3" s="2" t="s">
        <v>62</v>
      </c>
      <c r="H3" s="2" t="s">
        <v>63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>
      <c r="A4" s="3" t="s">
        <v>8</v>
      </c>
      <c r="B4" s="3">
        <v>26</v>
      </c>
      <c r="C4" s="3" t="s">
        <v>64</v>
      </c>
      <c r="D4" s="3" t="s">
        <v>65</v>
      </c>
      <c r="E4" s="3" t="s">
        <v>66</v>
      </c>
      <c r="F4" s="4">
        <v>244.19</v>
      </c>
      <c r="G4" s="4">
        <f>B4*F4</f>
        <v>6348.94</v>
      </c>
      <c r="H4" s="3" t="s">
        <v>67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>
      <c r="A5" s="3" t="s">
        <v>10</v>
      </c>
      <c r="B5" s="3">
        <v>10</v>
      </c>
      <c r="C5" s="3" t="s">
        <v>68</v>
      </c>
      <c r="D5" s="3" t="s">
        <v>69</v>
      </c>
      <c r="E5" s="3" t="s">
        <v>70</v>
      </c>
      <c r="F5" s="4">
        <v>0</v>
      </c>
      <c r="G5" s="4">
        <f>B5*F5</f>
        <v>0</v>
      </c>
      <c r="H5" s="3" t="s">
        <v>71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>
      <c r="A6" s="3" t="s">
        <v>72</v>
      </c>
      <c r="B6" s="3">
        <v>4</v>
      </c>
      <c r="C6" s="3" t="s">
        <v>73</v>
      </c>
      <c r="D6" s="3" t="s">
        <v>74</v>
      </c>
      <c r="E6" s="3" t="s">
        <v>75</v>
      </c>
      <c r="F6" s="4">
        <v>45</v>
      </c>
      <c r="G6" s="4">
        <f>B6*F6*12</f>
        <v>2160</v>
      </c>
      <c r="H6" s="3" t="s">
        <v>76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>
      <c r="A7" s="3" t="s">
        <v>77</v>
      </c>
      <c r="B7" s="3">
        <v>0</v>
      </c>
      <c r="C7" s="3" t="s">
        <v>78</v>
      </c>
      <c r="D7" s="3" t="s">
        <v>78</v>
      </c>
      <c r="E7" s="3" t="s">
        <v>79</v>
      </c>
      <c r="F7" s="4">
        <v>499</v>
      </c>
      <c r="G7" s="4">
        <f>B7*F7</f>
        <v>0</v>
      </c>
      <c r="H7" s="3" t="s">
        <v>80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00"/>
  <sheetViews>
    <sheetView workbookViewId="0">
      <selection activeCell="B17" sqref="B17"/>
    </sheetView>
  </sheetViews>
  <sheetFormatPr baseColWidth="10" defaultColWidth="9" defaultRowHeight="14.25"/>
  <cols>
    <col min="1" max="1" width="8" customWidth="1"/>
    <col min="2" max="2" width="58" customWidth="1"/>
    <col min="3" max="7" width="16" customWidth="1"/>
    <col min="8" max="13" width="28" customWidth="1"/>
  </cols>
  <sheetData>
    <row r="1" spans="1:26" ht="18.75">
      <c r="A1" s="7" t="s">
        <v>81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7">
      <c r="A3" s="2" t="s">
        <v>82</v>
      </c>
      <c r="B3" s="2" t="s">
        <v>83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  <c r="I3" s="2" t="s">
        <v>90</v>
      </c>
      <c r="J3" s="2" t="s">
        <v>91</v>
      </c>
      <c r="K3" s="2" t="s">
        <v>92</v>
      </c>
      <c r="L3" s="2" t="s">
        <v>93</v>
      </c>
      <c r="M3" s="2" t="s">
        <v>94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40.5">
      <c r="A4" s="3" t="s">
        <v>95</v>
      </c>
      <c r="B4" s="3" t="s">
        <v>96</v>
      </c>
      <c r="C4" s="4">
        <f>Inputs!$B$5*Inputs!$B$8 + Inputs!$B$7*Inputs!$B$9*12</f>
        <v>8508.9399999999987</v>
      </c>
      <c r="D4" s="4">
        <f>Inputs!$B$7*Inputs!$B$9*12</f>
        <v>2160</v>
      </c>
      <c r="E4" s="4">
        <f>Inputs!$B$7*Inputs!$B$9*12</f>
        <v>2160</v>
      </c>
      <c r="F4" s="4">
        <f t="shared" ref="F4:F9" si="0">SUM(C4:E4)</f>
        <v>12828.939999999999</v>
      </c>
      <c r="G4" s="4">
        <f t="shared" ref="G4:G9" si="1">F4-$F$4</f>
        <v>0</v>
      </c>
      <c r="H4" s="3" t="s">
        <v>97</v>
      </c>
      <c r="I4" s="3" t="s">
        <v>98</v>
      </c>
      <c r="J4" s="3" t="s">
        <v>99</v>
      </c>
      <c r="K4" s="3" t="s">
        <v>100</v>
      </c>
      <c r="L4" s="3" t="s">
        <v>101</v>
      </c>
      <c r="M4" s="3" t="s">
        <v>102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40.5">
      <c r="A5" s="3" t="s">
        <v>103</v>
      </c>
      <c r="B5" s="3" t="s">
        <v>104</v>
      </c>
      <c r="C5" s="4">
        <f>Inputs!$B$5*Inputs!$B$8 + Inputs!$B$7*Inputs!$B$10</f>
        <v>8344.9399999999987</v>
      </c>
      <c r="D5" s="4">
        <f>0</f>
        <v>0</v>
      </c>
      <c r="E5" s="4">
        <f>0</f>
        <v>0</v>
      </c>
      <c r="F5" s="4">
        <f t="shared" si="0"/>
        <v>8344.9399999999987</v>
      </c>
      <c r="G5" s="4">
        <f t="shared" si="1"/>
        <v>-4484</v>
      </c>
      <c r="H5" s="3" t="s">
        <v>105</v>
      </c>
      <c r="I5" s="3" t="s">
        <v>106</v>
      </c>
      <c r="J5" s="3" t="s">
        <v>107</v>
      </c>
      <c r="K5" s="3" t="s">
        <v>108</v>
      </c>
      <c r="L5" s="3" t="s">
        <v>109</v>
      </c>
      <c r="M5" s="3" t="s">
        <v>110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54">
      <c r="A6" s="3" t="s">
        <v>111</v>
      </c>
      <c r="B6" s="3" t="s">
        <v>291</v>
      </c>
      <c r="C6" s="4">
        <f>Inputs!$B$5*Inputs!$B$8 + Inputs!$B$7*Inputs!$B$11</f>
        <v>10428.700000000001</v>
      </c>
      <c r="D6" s="4">
        <f>Inputs!$B$7*Inputs!$B$12</f>
        <v>2684.4</v>
      </c>
      <c r="E6" s="4">
        <f>Inputs!$B$7*Inputs!$B$13</f>
        <v>1289.04</v>
      </c>
      <c r="F6" s="4">
        <f t="shared" si="0"/>
        <v>14402.14</v>
      </c>
      <c r="G6" s="4">
        <f t="shared" si="1"/>
        <v>1573.2000000000007</v>
      </c>
      <c r="H6" s="3" t="s">
        <v>97</v>
      </c>
      <c r="I6" s="3" t="s">
        <v>106</v>
      </c>
      <c r="J6" s="3" t="s">
        <v>112</v>
      </c>
      <c r="K6" s="3" t="s">
        <v>108</v>
      </c>
      <c r="L6" s="3" t="s">
        <v>113</v>
      </c>
      <c r="M6" s="3" t="s">
        <v>114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40.5">
      <c r="A7" s="3" t="s">
        <v>115</v>
      </c>
      <c r="B7" s="3" t="s">
        <v>116</v>
      </c>
      <c r="C7" s="4">
        <f>Inputs!$B$5*Inputs!$B$8 + Inputs!$B$7*Inputs!$B$9*12</f>
        <v>8508.9399999999987</v>
      </c>
      <c r="D7" s="4">
        <f>Inputs!$B$5*Inputs!$B$8 + Inputs!$B$7*Inputs!$B$9*12</f>
        <v>8508.9399999999987</v>
      </c>
      <c r="E7" s="4">
        <f>Inputs!$B$5*Inputs!$B$8 + Inputs!$B$7*Inputs!$B$9*12</f>
        <v>8508.9399999999987</v>
      </c>
      <c r="F7" s="4">
        <f t="shared" si="0"/>
        <v>25526.819999999996</v>
      </c>
      <c r="G7" s="4">
        <f t="shared" si="1"/>
        <v>12697.879999999997</v>
      </c>
      <c r="H7" s="3" t="s">
        <v>97</v>
      </c>
      <c r="I7" s="3" t="s">
        <v>98</v>
      </c>
      <c r="J7" s="3" t="s">
        <v>117</v>
      </c>
      <c r="K7" s="3" t="s">
        <v>100</v>
      </c>
      <c r="L7" s="3" t="s">
        <v>118</v>
      </c>
      <c r="M7" s="3" t="s">
        <v>119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7">
      <c r="A8" s="3" t="s">
        <v>120</v>
      </c>
      <c r="B8" s="3" t="s">
        <v>121</v>
      </c>
      <c r="C8" s="4">
        <f>((Inputs!$B$19-1)*Inputs!$B$9 + (Inputs!$B$4-Inputs!$B$19+1)*Inputs!$B$9*(1-Inputs!$B$18))*12</f>
        <v>20655</v>
      </c>
      <c r="D8" s="4">
        <f>C8</f>
        <v>20655</v>
      </c>
      <c r="E8" s="4">
        <f>C8</f>
        <v>20655</v>
      </c>
      <c r="F8" s="4">
        <f t="shared" si="0"/>
        <v>61965</v>
      </c>
      <c r="G8" s="4">
        <f t="shared" si="1"/>
        <v>49136.06</v>
      </c>
      <c r="H8" s="3" t="s">
        <v>122</v>
      </c>
      <c r="I8" s="3" t="s">
        <v>40</v>
      </c>
      <c r="J8" s="3" t="s">
        <v>123</v>
      </c>
      <c r="K8" s="3" t="s">
        <v>124</v>
      </c>
      <c r="L8" s="3" t="s">
        <v>125</v>
      </c>
      <c r="M8" s="3" t="s">
        <v>126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7">
      <c r="A9" s="3" t="s">
        <v>127</v>
      </c>
      <c r="B9" s="3" t="s">
        <v>128</v>
      </c>
      <c r="C9" s="4">
        <f>Inputs!$B$4*Inputs!$B$14*12</f>
        <v>47995.199999999997</v>
      </c>
      <c r="D9" s="4">
        <f>Inputs!$B$4*Inputs!$B$15*12</f>
        <v>31963.200000000004</v>
      </c>
      <c r="E9" s="4">
        <f>Inputs!$B$4*Inputs!$B$15*12</f>
        <v>31963.200000000004</v>
      </c>
      <c r="F9" s="4">
        <f t="shared" si="0"/>
        <v>111921.60000000001</v>
      </c>
      <c r="G9" s="4">
        <f t="shared" si="1"/>
        <v>99092.66</v>
      </c>
      <c r="H9" s="3" t="s">
        <v>122</v>
      </c>
      <c r="I9" s="3" t="s">
        <v>40</v>
      </c>
      <c r="J9" s="3" t="s">
        <v>123</v>
      </c>
      <c r="K9" s="3" t="s">
        <v>129</v>
      </c>
      <c r="L9" s="3" t="s">
        <v>125</v>
      </c>
      <c r="M9" s="3" t="s">
        <v>130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2">
    <mergeCell ref="A1:M1"/>
    <mergeCell ref="A2:M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00"/>
  <sheetViews>
    <sheetView workbookViewId="0">
      <selection sqref="A1:K1"/>
    </sheetView>
  </sheetViews>
  <sheetFormatPr baseColWidth="10" defaultColWidth="9" defaultRowHeight="14.25"/>
  <cols>
    <col min="1" max="1" width="8" customWidth="1"/>
    <col min="2" max="2" width="56" customWidth="1"/>
    <col min="3" max="7" width="16" customWidth="1"/>
    <col min="8" max="11" width="30" customWidth="1"/>
  </cols>
  <sheetData>
    <row r="1" spans="1:26" ht="18.75">
      <c r="A1" s="7" t="s">
        <v>131</v>
      </c>
      <c r="B1" s="7"/>
      <c r="C1" s="7"/>
      <c r="D1" s="7"/>
      <c r="E1" s="7"/>
      <c r="F1" s="7"/>
      <c r="G1" s="7"/>
      <c r="H1" s="7"/>
      <c r="I1" s="7"/>
      <c r="J1" s="7"/>
      <c r="K1" s="7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7">
      <c r="A3" s="2" t="s">
        <v>132</v>
      </c>
      <c r="B3" s="2" t="s">
        <v>83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133</v>
      </c>
      <c r="H3" s="2" t="s">
        <v>93</v>
      </c>
      <c r="I3" s="2" t="s">
        <v>92</v>
      </c>
      <c r="J3" s="2" t="s">
        <v>134</v>
      </c>
      <c r="K3" s="2" t="s">
        <v>135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7">
      <c r="A4" s="3">
        <v>1</v>
      </c>
      <c r="B4" s="3" t="s">
        <v>136</v>
      </c>
      <c r="C4" s="4">
        <f>'Escenarios 3 años'!C5</f>
        <v>8344.9399999999987</v>
      </c>
      <c r="D4" s="4">
        <f>'Escenarios 3 años'!D5</f>
        <v>0</v>
      </c>
      <c r="E4" s="4">
        <f>'Escenarios 3 años'!E5</f>
        <v>0</v>
      </c>
      <c r="F4" s="4">
        <f>'Escenarios 3 años'!F5</f>
        <v>8344.9399999999987</v>
      </c>
      <c r="G4" s="4">
        <f>'Escenarios 3 años'!G5</f>
        <v>-4484</v>
      </c>
      <c r="H4" s="3" t="s">
        <v>109</v>
      </c>
      <c r="I4" s="3" t="s">
        <v>108</v>
      </c>
      <c r="J4" s="3" t="s">
        <v>137</v>
      </c>
      <c r="K4" s="3" t="s">
        <v>138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40.5">
      <c r="A5" s="3">
        <v>2</v>
      </c>
      <c r="B5" s="3" t="s">
        <v>139</v>
      </c>
      <c r="C5" s="4">
        <f>'Escenarios 3 años'!C4</f>
        <v>8508.9399999999987</v>
      </c>
      <c r="D5" s="4">
        <f>'Escenarios 3 años'!D4</f>
        <v>2160</v>
      </c>
      <c r="E5" s="4">
        <f>'Escenarios 3 años'!E4</f>
        <v>2160</v>
      </c>
      <c r="F5" s="4">
        <f>'Escenarios 3 años'!F4</f>
        <v>12828.939999999999</v>
      </c>
      <c r="G5" s="4">
        <f>'Escenarios 3 años'!G4</f>
        <v>0</v>
      </c>
      <c r="H5" s="3" t="s">
        <v>101</v>
      </c>
      <c r="I5" s="3" t="s">
        <v>100</v>
      </c>
      <c r="J5" s="3" t="s">
        <v>140</v>
      </c>
      <c r="K5" s="3" t="s">
        <v>141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7">
      <c r="A6" s="3">
        <v>3</v>
      </c>
      <c r="B6" s="3" t="s">
        <v>142</v>
      </c>
      <c r="C6" s="4">
        <f>'Escenarios 3 años'!C6</f>
        <v>10428.700000000001</v>
      </c>
      <c r="D6" s="4">
        <f>'Escenarios 3 años'!D6</f>
        <v>2684.4</v>
      </c>
      <c r="E6" s="4">
        <f>'Escenarios 3 años'!E6</f>
        <v>1289.04</v>
      </c>
      <c r="F6" s="4">
        <f>'Escenarios 3 años'!F6</f>
        <v>14402.14</v>
      </c>
      <c r="G6" s="4">
        <f>'Escenarios 3 años'!G6</f>
        <v>1573.2000000000007</v>
      </c>
      <c r="H6" s="3" t="s">
        <v>113</v>
      </c>
      <c r="I6" s="3" t="s">
        <v>108</v>
      </c>
      <c r="J6" s="3" t="s">
        <v>143</v>
      </c>
      <c r="K6" s="3" t="s">
        <v>144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7">
      <c r="A7" s="3">
        <v>4</v>
      </c>
      <c r="B7" s="3" t="s">
        <v>145</v>
      </c>
      <c r="C7" s="4">
        <f>'Escenarios 3 años'!C7</f>
        <v>8508.9399999999987</v>
      </c>
      <c r="D7" s="4">
        <f>'Escenarios 3 años'!D7</f>
        <v>8508.9399999999987</v>
      </c>
      <c r="E7" s="4">
        <f>'Escenarios 3 años'!E7</f>
        <v>8508.9399999999987</v>
      </c>
      <c r="F7" s="4">
        <f>'Escenarios 3 años'!F7</f>
        <v>25526.819999999996</v>
      </c>
      <c r="G7" s="4">
        <f>'Escenarios 3 años'!G7</f>
        <v>12697.879999999997</v>
      </c>
      <c r="H7" s="3" t="s">
        <v>118</v>
      </c>
      <c r="I7" s="3" t="s">
        <v>100</v>
      </c>
      <c r="J7" s="3" t="s">
        <v>146</v>
      </c>
      <c r="K7" s="3" t="s">
        <v>147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>
      <c r="A8" s="3">
        <v>5</v>
      </c>
      <c r="B8" s="3" t="s">
        <v>148</v>
      </c>
      <c r="C8" s="4">
        <f>'Escenarios 3 años'!C8</f>
        <v>20655</v>
      </c>
      <c r="D8" s="4">
        <f>'Escenarios 3 años'!D8</f>
        <v>20655</v>
      </c>
      <c r="E8" s="4">
        <f>'Escenarios 3 años'!E8</f>
        <v>20655</v>
      </c>
      <c r="F8" s="4">
        <f>'Escenarios 3 años'!F8</f>
        <v>61965</v>
      </c>
      <c r="G8" s="4">
        <f>'Escenarios 3 años'!G8</f>
        <v>49136.06</v>
      </c>
      <c r="H8" s="3" t="s">
        <v>125</v>
      </c>
      <c r="I8" s="3" t="s">
        <v>124</v>
      </c>
      <c r="J8" s="3" t="s">
        <v>149</v>
      </c>
      <c r="K8" s="3" t="s">
        <v>150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7">
      <c r="A9" s="3">
        <v>6</v>
      </c>
      <c r="B9" s="3" t="s">
        <v>151</v>
      </c>
      <c r="C9" s="4">
        <f>'Escenarios 3 años'!C9</f>
        <v>47995.199999999997</v>
      </c>
      <c r="D9" s="4">
        <f>'Escenarios 3 años'!D9</f>
        <v>31963.200000000004</v>
      </c>
      <c r="E9" s="4">
        <f>'Escenarios 3 años'!E9</f>
        <v>31963.200000000004</v>
      </c>
      <c r="F9" s="4">
        <f>'Escenarios 3 años'!F9</f>
        <v>111921.60000000001</v>
      </c>
      <c r="G9" s="4">
        <f>'Escenarios 3 años'!G9</f>
        <v>99092.66</v>
      </c>
      <c r="H9" s="3" t="s">
        <v>125</v>
      </c>
      <c r="I9" s="3" t="s">
        <v>152</v>
      </c>
      <c r="J9" s="3" t="s">
        <v>153</v>
      </c>
      <c r="K9" s="3" t="s">
        <v>150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1">
    <mergeCell ref="A1:K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99"/>
  <sheetViews>
    <sheetView workbookViewId="0">
      <selection activeCell="D37" sqref="D37"/>
    </sheetView>
  </sheetViews>
  <sheetFormatPr baseColWidth="10" defaultColWidth="9" defaultRowHeight="14.25"/>
  <cols>
    <col min="1" max="7" width="28" customWidth="1"/>
  </cols>
  <sheetData>
    <row r="1" spans="1:26" ht="18.75">
      <c r="A1" s="7" t="s">
        <v>154</v>
      </c>
      <c r="B1" s="7"/>
      <c r="C1" s="7"/>
      <c r="D1" s="7"/>
      <c r="E1" s="7"/>
      <c r="F1" s="7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>
      <c r="A3" s="2" t="s">
        <v>155</v>
      </c>
      <c r="B3" s="2" t="s">
        <v>156</v>
      </c>
      <c r="C3" s="2" t="s">
        <v>157</v>
      </c>
      <c r="D3" s="2" t="s">
        <v>158</v>
      </c>
      <c r="E3" s="2" t="s">
        <v>159</v>
      </c>
      <c r="F3" s="2" t="s">
        <v>160</v>
      </c>
      <c r="G3" s="2" t="s">
        <v>161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7">
      <c r="A4" s="3" t="s">
        <v>162</v>
      </c>
      <c r="B4" s="3" t="s">
        <v>163</v>
      </c>
      <c r="C4" s="3" t="s">
        <v>164</v>
      </c>
      <c r="D4" s="3" t="s">
        <v>165</v>
      </c>
      <c r="E4" s="3" t="s">
        <v>166</v>
      </c>
      <c r="F4" s="3" t="s">
        <v>167</v>
      </c>
      <c r="G4" s="3" t="s">
        <v>168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7">
      <c r="A5" s="3" t="s">
        <v>169</v>
      </c>
      <c r="B5" s="3" t="s">
        <v>163</v>
      </c>
      <c r="C5" s="3" t="s">
        <v>170</v>
      </c>
      <c r="D5" s="3" t="s">
        <v>171</v>
      </c>
      <c r="E5" s="3" t="s">
        <v>172</v>
      </c>
      <c r="F5" s="3" t="s">
        <v>173</v>
      </c>
      <c r="G5" s="3" t="s">
        <v>174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7">
      <c r="A6" s="3" t="s">
        <v>175</v>
      </c>
      <c r="B6" s="3" t="s">
        <v>176</v>
      </c>
      <c r="C6" s="3" t="s">
        <v>177</v>
      </c>
      <c r="D6" s="3" t="s">
        <v>178</v>
      </c>
      <c r="E6" s="3" t="s">
        <v>179</v>
      </c>
      <c r="F6" s="3" t="s">
        <v>180</v>
      </c>
      <c r="G6" s="3" t="s">
        <v>181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>
      <c r="A7" s="3" t="s">
        <v>182</v>
      </c>
      <c r="B7" s="3" t="s">
        <v>163</v>
      </c>
      <c r="C7" s="3" t="s">
        <v>183</v>
      </c>
      <c r="D7" s="3" t="s">
        <v>184</v>
      </c>
      <c r="E7" s="3" t="s">
        <v>185</v>
      </c>
      <c r="F7" s="3" t="s">
        <v>186</v>
      </c>
      <c r="G7" s="3" t="s">
        <v>168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7">
      <c r="A8" s="3" t="s">
        <v>187</v>
      </c>
      <c r="B8" s="3" t="s">
        <v>163</v>
      </c>
      <c r="C8" s="3" t="s">
        <v>188</v>
      </c>
      <c r="D8" s="3" t="s">
        <v>189</v>
      </c>
      <c r="E8" s="3" t="s">
        <v>190</v>
      </c>
      <c r="F8" s="3" t="s">
        <v>186</v>
      </c>
      <c r="G8" s="3" t="s">
        <v>191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7">
      <c r="A9" s="3" t="s">
        <v>192</v>
      </c>
      <c r="B9" s="3" t="s">
        <v>193</v>
      </c>
      <c r="C9" s="3" t="s">
        <v>194</v>
      </c>
      <c r="D9" s="3" t="s">
        <v>195</v>
      </c>
      <c r="E9" s="3" t="s">
        <v>196</v>
      </c>
      <c r="F9" s="3" t="s">
        <v>197</v>
      </c>
      <c r="G9" s="3" t="s">
        <v>198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7">
      <c r="A10" s="3" t="s">
        <v>199</v>
      </c>
      <c r="B10" s="3" t="s">
        <v>163</v>
      </c>
      <c r="C10" s="3" t="s">
        <v>200</v>
      </c>
      <c r="D10" s="3" t="s">
        <v>201</v>
      </c>
      <c r="E10" s="3" t="s">
        <v>202</v>
      </c>
      <c r="F10" s="3" t="s">
        <v>186</v>
      </c>
      <c r="G10" s="3" t="s">
        <v>203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7">
      <c r="A11" s="3" t="s">
        <v>204</v>
      </c>
      <c r="B11" s="3" t="s">
        <v>205</v>
      </c>
      <c r="C11" s="3" t="s">
        <v>206</v>
      </c>
      <c r="D11" s="3" t="s">
        <v>207</v>
      </c>
      <c r="E11" s="3" t="s">
        <v>208</v>
      </c>
      <c r="F11" s="3" t="s">
        <v>209</v>
      </c>
      <c r="G11" s="3" t="s">
        <v>210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7">
      <c r="A12" s="3" t="s">
        <v>211</v>
      </c>
      <c r="B12" s="3" t="s">
        <v>292</v>
      </c>
      <c r="C12" s="3" t="s">
        <v>212</v>
      </c>
      <c r="D12" s="3" t="s">
        <v>213</v>
      </c>
      <c r="E12" s="3" t="s">
        <v>214</v>
      </c>
      <c r="F12" s="3" t="s">
        <v>186</v>
      </c>
      <c r="G12" s="3" t="s">
        <v>215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</sheetData>
  <mergeCells count="1">
    <mergeCell ref="A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200"/>
  <sheetViews>
    <sheetView workbookViewId="0">
      <selection sqref="A1:F1"/>
    </sheetView>
  </sheetViews>
  <sheetFormatPr baseColWidth="10" defaultColWidth="9" defaultRowHeight="14.25"/>
  <cols>
    <col min="1" max="2" width="30" customWidth="1"/>
    <col min="3" max="3" width="65" customWidth="1"/>
    <col min="4" max="6" width="30" customWidth="1"/>
  </cols>
  <sheetData>
    <row r="1" spans="1:26" ht="18.75">
      <c r="A1" s="7" t="s">
        <v>216</v>
      </c>
      <c r="B1" s="7"/>
      <c r="C1" s="7"/>
      <c r="D1" s="7"/>
      <c r="E1" s="7"/>
      <c r="F1" s="7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>
      <c r="A3" s="2" t="s">
        <v>217</v>
      </c>
      <c r="B3" s="2" t="s">
        <v>218</v>
      </c>
      <c r="C3" s="2" t="s">
        <v>219</v>
      </c>
      <c r="D3" s="2" t="s">
        <v>220</v>
      </c>
      <c r="E3" s="2" t="s">
        <v>221</v>
      </c>
      <c r="F3" s="2" t="s">
        <v>63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40.5">
      <c r="A4" s="3" t="s">
        <v>19</v>
      </c>
      <c r="B4" s="3" t="s">
        <v>222</v>
      </c>
      <c r="C4" s="3" t="s">
        <v>223</v>
      </c>
      <c r="D4" s="3" t="s">
        <v>224</v>
      </c>
      <c r="E4" s="3" t="s">
        <v>225</v>
      </c>
      <c r="F4" s="3" t="s">
        <v>226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7">
      <c r="A5" s="3" t="s">
        <v>227</v>
      </c>
      <c r="B5" s="3" t="s">
        <v>228</v>
      </c>
      <c r="C5" s="3" t="s">
        <v>229</v>
      </c>
      <c r="D5" s="3" t="s">
        <v>224</v>
      </c>
      <c r="E5" s="3" t="s">
        <v>225</v>
      </c>
      <c r="F5" s="3" t="s">
        <v>230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7">
      <c r="A6" s="3" t="s">
        <v>231</v>
      </c>
      <c r="B6" s="3" t="s">
        <v>232</v>
      </c>
      <c r="C6" s="3" t="s">
        <v>233</v>
      </c>
      <c r="D6" s="3" t="s">
        <v>224</v>
      </c>
      <c r="E6" s="3" t="s">
        <v>234</v>
      </c>
      <c r="F6" s="3" t="s">
        <v>235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7">
      <c r="A7" s="3" t="s">
        <v>236</v>
      </c>
      <c r="B7" s="3" t="s">
        <v>237</v>
      </c>
      <c r="C7" s="3" t="s">
        <v>238</v>
      </c>
      <c r="D7" s="3" t="s">
        <v>224</v>
      </c>
      <c r="E7" s="3" t="s">
        <v>234</v>
      </c>
      <c r="F7" s="3" t="s">
        <v>239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40.5">
      <c r="A8" s="3" t="s">
        <v>240</v>
      </c>
      <c r="B8" s="3" t="s">
        <v>241</v>
      </c>
      <c r="C8" s="3" t="s">
        <v>238</v>
      </c>
      <c r="D8" s="3" t="s">
        <v>224</v>
      </c>
      <c r="E8" s="3" t="s">
        <v>242</v>
      </c>
      <c r="F8" s="3" t="s">
        <v>243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200"/>
  <sheetViews>
    <sheetView workbookViewId="0">
      <selection sqref="A1:B1"/>
    </sheetView>
  </sheetViews>
  <sheetFormatPr baseColWidth="10" defaultColWidth="9" defaultRowHeight="14.25"/>
  <cols>
    <col min="1" max="1" width="26" customWidth="1"/>
    <col min="2" max="2" width="95" customWidth="1"/>
  </cols>
  <sheetData>
    <row r="1" spans="1:26" ht="18.75">
      <c r="A1" s="7" t="s">
        <v>244</v>
      </c>
      <c r="B1" s="7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0.5">
      <c r="A3" s="3" t="s">
        <v>245</v>
      </c>
      <c r="B3" s="3" t="s">
        <v>246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>
      <c r="A4" s="3" t="s">
        <v>247</v>
      </c>
      <c r="B4" s="3" t="s">
        <v>248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>
      <c r="A5" s="3" t="s">
        <v>249</v>
      </c>
      <c r="B5" s="4">
        <f>'Escenarios 3 años'!F4</f>
        <v>12828.939999999999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>
      <c r="A6" s="3" t="s">
        <v>250</v>
      </c>
      <c r="B6" s="4" t="s">
        <v>251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>
      <c r="A7" s="3" t="s">
        <v>252</v>
      </c>
      <c r="B7" s="4" t="s">
        <v>253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>
      <c r="A8" s="3" t="s">
        <v>254</v>
      </c>
      <c r="B8" s="4">
        <f>'Escenarios 3 años'!F6</f>
        <v>14402.14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>
      <c r="A9" s="3" t="s">
        <v>255</v>
      </c>
      <c r="B9" s="3" t="s">
        <v>256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7">
      <c r="A10" s="3" t="s">
        <v>257</v>
      </c>
      <c r="B10" s="3" t="s">
        <v>258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>
      <c r="A11" s="3" t="s">
        <v>259</v>
      </c>
      <c r="B11" s="3" t="s">
        <v>260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7">
      <c r="A12" s="3" t="s">
        <v>261</v>
      </c>
      <c r="B12" s="3" t="s">
        <v>262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>
      <c r="A13" s="3" t="s">
        <v>156</v>
      </c>
      <c r="B13" s="3" t="s">
        <v>263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1">
    <mergeCell ref="A1:B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200"/>
  <sheetViews>
    <sheetView workbookViewId="0">
      <selection sqref="A1:E1"/>
    </sheetView>
  </sheetViews>
  <sheetFormatPr baseColWidth="10" defaultColWidth="9" defaultRowHeight="14.25"/>
  <cols>
    <col min="1" max="1" width="26" customWidth="1"/>
    <col min="2" max="5" width="16" customWidth="1"/>
  </cols>
  <sheetData>
    <row r="1" spans="1:26" ht="18.75">
      <c r="A1" s="7" t="s">
        <v>264</v>
      </c>
      <c r="B1" s="7"/>
      <c r="C1" s="7"/>
      <c r="D1" s="7"/>
      <c r="E1" s="7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>
      <c r="A3" s="2" t="s">
        <v>83</v>
      </c>
      <c r="B3" s="2" t="s">
        <v>84</v>
      </c>
      <c r="C3" s="2" t="s">
        <v>85</v>
      </c>
      <c r="D3" s="2" t="s">
        <v>86</v>
      </c>
      <c r="E3" s="2" t="s">
        <v>87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>
      <c r="A4" s="1" t="s">
        <v>265</v>
      </c>
      <c r="B4" s="6">
        <f>'Escenarios 3 años'!C4</f>
        <v>8508.9399999999987</v>
      </c>
      <c r="C4" s="6">
        <f>'Escenarios 3 años'!D4</f>
        <v>2160</v>
      </c>
      <c r="D4" s="6">
        <f>'Escenarios 3 años'!E4</f>
        <v>2160</v>
      </c>
      <c r="E4" s="6">
        <f>'Escenarios 3 años'!F4</f>
        <v>12828.939999999999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>
      <c r="A5" s="1" t="s">
        <v>266</v>
      </c>
      <c r="B5" s="6">
        <f>'Escenarios 3 años'!C5</f>
        <v>8344.9399999999987</v>
      </c>
      <c r="C5" s="6">
        <f>'Escenarios 3 años'!D5</f>
        <v>0</v>
      </c>
      <c r="D5" s="6">
        <f>'Escenarios 3 años'!E5</f>
        <v>0</v>
      </c>
      <c r="E5" s="6">
        <f>'Escenarios 3 años'!F5</f>
        <v>8344.9399999999987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>
      <c r="A6" s="1" t="s">
        <v>267</v>
      </c>
      <c r="B6" s="6">
        <f>'Escenarios 3 años'!C6</f>
        <v>10428.700000000001</v>
      </c>
      <c r="C6" s="6">
        <f>'Escenarios 3 años'!D6</f>
        <v>2684.4</v>
      </c>
      <c r="D6" s="6">
        <f>'Escenarios 3 años'!E6</f>
        <v>1289.04</v>
      </c>
      <c r="E6" s="6">
        <f>'Escenarios 3 años'!F6</f>
        <v>14402.14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>
      <c r="A7" s="1" t="s">
        <v>268</v>
      </c>
      <c r="B7" s="6">
        <f>'Escenarios 3 años'!C7</f>
        <v>8508.9399999999987</v>
      </c>
      <c r="C7" s="6">
        <f>'Escenarios 3 años'!D7</f>
        <v>8508.9399999999987</v>
      </c>
      <c r="D7" s="6">
        <f>'Escenarios 3 años'!E7</f>
        <v>8508.9399999999987</v>
      </c>
      <c r="E7" s="6">
        <f>'Escenarios 3 años'!F7</f>
        <v>25526.819999999996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>
      <c r="A8" s="1" t="s">
        <v>269</v>
      </c>
      <c r="B8" s="6">
        <f>'Escenarios 3 años'!C8</f>
        <v>20655</v>
      </c>
      <c r="C8" s="6">
        <f>'Escenarios 3 años'!D8</f>
        <v>20655</v>
      </c>
      <c r="D8" s="6">
        <f>'Escenarios 3 años'!E8</f>
        <v>20655</v>
      </c>
      <c r="E8" s="6">
        <f>'Escenarios 3 años'!F8</f>
        <v>61965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>
      <c r="A9" s="1" t="s">
        <v>270</v>
      </c>
      <c r="B9" s="6">
        <f>'Escenarios 3 años'!C9</f>
        <v>47995.199999999997</v>
      </c>
      <c r="C9" s="6">
        <f>'Escenarios 3 años'!D9</f>
        <v>31963.200000000004</v>
      </c>
      <c r="D9" s="6">
        <f>'Escenarios 3 años'!E9</f>
        <v>31963.200000000004</v>
      </c>
      <c r="E9" s="6">
        <f>'Escenarios 3 años'!F9</f>
        <v>111921.60000000001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1">
    <mergeCell ref="A1:E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200"/>
  <sheetViews>
    <sheetView workbookViewId="0">
      <selection sqref="A1:F1"/>
    </sheetView>
  </sheetViews>
  <sheetFormatPr baseColWidth="10" defaultColWidth="9" defaultRowHeight="14.25"/>
  <cols>
    <col min="1" max="1" width="34" customWidth="1"/>
    <col min="5" max="6" width="52" customWidth="1"/>
  </cols>
  <sheetData>
    <row r="1" spans="1:26" ht="18.75">
      <c r="A1" s="7" t="s">
        <v>271</v>
      </c>
      <c r="B1" s="7"/>
      <c r="C1" s="7"/>
      <c r="D1" s="7"/>
      <c r="E1" s="7"/>
      <c r="F1" s="7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0.5">
      <c r="A3" s="2" t="s">
        <v>272</v>
      </c>
      <c r="B3" s="2" t="s">
        <v>57</v>
      </c>
      <c r="C3" s="2" t="s">
        <v>273</v>
      </c>
      <c r="D3" s="2" t="s">
        <v>274</v>
      </c>
      <c r="E3" s="2" t="s">
        <v>275</v>
      </c>
      <c r="F3" s="2" t="s">
        <v>276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7">
      <c r="A4" s="3" t="s">
        <v>277</v>
      </c>
      <c r="B4" s="3">
        <v>26</v>
      </c>
      <c r="C4" s="4">
        <v>244.19</v>
      </c>
      <c r="D4" s="4">
        <f>B4*C4</f>
        <v>6348.94</v>
      </c>
      <c r="E4" s="3" t="s">
        <v>278</v>
      </c>
      <c r="F4" s="3" t="s">
        <v>279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>
      <c r="A5" s="3" t="s">
        <v>280</v>
      </c>
      <c r="B5" s="3">
        <v>10</v>
      </c>
      <c r="C5" s="4">
        <v>0</v>
      </c>
      <c r="D5" s="4">
        <f>B5*C5</f>
        <v>0</v>
      </c>
      <c r="E5" s="3" t="s">
        <v>281</v>
      </c>
      <c r="F5" s="3" t="s">
        <v>282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>
      <c r="A6" s="3" t="s">
        <v>283</v>
      </c>
      <c r="B6" s="3">
        <v>4</v>
      </c>
      <c r="C6" s="4">
        <v>45</v>
      </c>
      <c r="D6" s="4">
        <f>B6*C6*12</f>
        <v>2160</v>
      </c>
      <c r="E6" s="3" t="s">
        <v>284</v>
      </c>
      <c r="F6" s="3" t="s">
        <v>285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>
      <c r="A7" s="3" t="s">
        <v>286</v>
      </c>
      <c r="B7" s="3">
        <v>4</v>
      </c>
      <c r="C7" s="4">
        <v>499</v>
      </c>
      <c r="D7" s="4">
        <f>B7*C7</f>
        <v>1996</v>
      </c>
      <c r="E7" s="3" t="s">
        <v>287</v>
      </c>
      <c r="F7" s="3" t="s">
        <v>288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7">
      <c r="A8" s="3" t="s">
        <v>289</v>
      </c>
      <c r="B8" s="3">
        <v>0</v>
      </c>
      <c r="C8" s="4">
        <v>499</v>
      </c>
      <c r="D8" s="4">
        <f>B8*C8</f>
        <v>0</v>
      </c>
      <c r="E8" s="3" t="s">
        <v>290</v>
      </c>
      <c r="F8" s="3" t="s">
        <v>79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Inputs</vt:lpstr>
      <vt:lpstr>Inventario actual</vt:lpstr>
      <vt:lpstr>Escenarios 3 años</vt:lpstr>
      <vt:lpstr>Resumen ejecutivo</vt:lpstr>
      <vt:lpstr>Validaciones</vt:lpstr>
      <vt:lpstr>Fuentes y supuestos</vt:lpstr>
      <vt:lpstr>Recomendación gerencia</vt:lpstr>
      <vt:lpstr>Gráficos</vt:lpstr>
      <vt:lpstr>Aclaración alcance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Ricardo Andres Leyva</cp:lastModifiedBy>
  <dcterms:modified xsi:type="dcterms:W3CDTF">2026-05-20T15:41:37Z</dcterms:modified>
</cp:coreProperties>
</file>